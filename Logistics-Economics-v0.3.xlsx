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Landed-Cost Calculator" sheetId="3" state="visible" r:id="rId3"/>
    <sheet xmlns:r="http://schemas.openxmlformats.org/officeDocument/2006/relationships" name="Break-even (Route x Weight)" sheetId="4" state="visible" r:id="rId4"/>
    <sheet xmlns:r="http://schemas.openxmlformats.org/officeDocument/2006/relationships" name="Route Feasibility Matrix" sheetId="5" state="visible" r:id="rId5"/>
    <sheet xmlns:r="http://schemas.openxmlformats.org/officeDocument/2006/relationships" name="Fulfillment Model Compariso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"/>
    <numFmt numFmtId="167" formatCode="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</font>
    <font>
      <name val="Arial"/>
      <b val="1"/>
      <color rgb="00FFFFFF"/>
    </font>
    <font>
      <name val="Arial"/>
      <color rgb="000000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5" fillId="3" borderId="1" pivotButton="0" quotePrefix="0" xfId="0"/>
    <xf numFmtId="0" fontId="2" fillId="0" borderId="1" pivotButton="0" quotePrefix="0" xfId="0"/>
    <xf numFmtId="165" fontId="5" fillId="3" borderId="1" pivotButton="0" quotePrefix="0" xfId="0"/>
    <xf numFmtId="3" fontId="5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167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167" fontId="4" fillId="2" borderId="1" applyAlignment="1" pivotButton="0" quotePrefix="0" xfId="0">
      <alignment horizontal="center" vertical="center" wrapText="1"/>
    </xf>
    <xf numFmtId="166" fontId="0" fillId="0" borderId="1" pivotButton="0" quotePrefix="0" xfId="0"/>
    <xf numFmtId="0" fontId="0" fillId="0" borderId="1" applyAlignment="1" pivotButton="0" quotePrefix="0" xfId="0">
      <alignment horizontal="center"/>
    </xf>
    <xf numFmtId="165" fontId="3" fillId="0" borderId="1" pivotButton="0" quotePrefix="0" xfId="0"/>
    <xf numFmtId="2" fontId="3" fillId="5" borderId="1" pivotButton="0" quotePrefix="0" xfId="0"/>
    <xf numFmtId="2" fontId="3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78" customWidth="1" min="3" max="3"/>
  </cols>
  <sheetData>
    <row r="2">
      <c r="B2" s="1" t="inlineStr">
        <is>
          <t>Phase 0.3 — Cross-Border Logistics Economics Model</t>
        </is>
      </c>
    </row>
    <row r="3">
      <c r="B3" s="2" t="inlineStr">
        <is>
          <t>Companion to: Logistics &amp; Fulfillment Feasibility (v0.3). All figures ILLUSTRATIVE — replace blue cells with real carrier quotes.</t>
        </is>
      </c>
    </row>
    <row r="5" ht="42" customHeight="1">
      <c r="B5" s="3" t="inlineStr">
        <is>
          <t>How to use</t>
        </is>
      </c>
      <c r="C5" s="4" t="inlineStr">
        <is>
          <t>Edit only the BLUE cells (Assumptions tab). Every black cell is a formula and recalculates automatically.</t>
        </is>
      </c>
    </row>
    <row r="6" ht="42" customHeight="1">
      <c r="B6" s="3" t="inlineStr">
        <is>
          <t>Tabs</t>
        </is>
      </c>
      <c r="C6" s="4" t="inlineStr">
        <is>
          <t>Assumptions · Landed-Cost Calculator · Break-even (Route x Weight) · Route Feasibility Matrix · Fulfillment Model Comparison</t>
        </is>
      </c>
    </row>
    <row r="7" ht="42" customHeight="1">
      <c r="B7" s="3" t="inlineStr">
        <is>
          <t>Core question</t>
        </is>
      </c>
      <c r="C7" s="4" t="inlineStr">
        <is>
          <t>For a given product value + weight + route, what share of the price is logistics overhead? Above the viability threshold, the order is uneconomic to fulfill end-to-end ourselves.</t>
        </is>
      </c>
    </row>
    <row r="8" ht="42" customHeight="1">
      <c r="B8" s="3" t="inlineStr">
        <is>
          <t>Colour legend</t>
        </is>
      </c>
      <c r="C8" s="4" t="inlineStr">
        <is>
          <t>BLUE = input you can change · BLACK = formula · YELLOW = key assumption/threshold · GREEN/RED fills = pass/fail flags.</t>
        </is>
      </c>
    </row>
    <row r="9" ht="42" customHeight="1">
      <c r="B9" s="3" t="inlineStr">
        <is>
          <t>Key insight</t>
        </is>
      </c>
      <c r="C9" s="4" t="inlineStr">
        <is>
          <t>Overhead ratio rises with distance (freight $/kg) and weight, and falls with product value. Nearby routes (UAE/Turkey) + high-value/low-weight categories + consolidation are what make the unit economics work.</t>
        </is>
      </c>
    </row>
    <row r="10" ht="42" customHeight="1">
      <c r="B10" s="3" t="inlineStr">
        <is>
          <t>Sources</t>
        </is>
      </c>
      <c r="C10" s="4" t="inlineStr">
        <is>
          <t>Air freight $2.50-$8/kg standard, express courier $6-10/kg (2026 guides). Consolidation saves up to 80%. PUDO ~25% cheaper than home delivery. See doc reference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10" customWidth="1" min="4" max="4"/>
    <col width="60" customWidth="1" min="5" max="5"/>
  </cols>
  <sheetData>
    <row r="2">
      <c r="B2" s="1" t="inlineStr">
        <is>
          <t>Assumptions &amp; Rate Card (edit blue cells)</t>
        </is>
      </c>
    </row>
    <row r="3">
      <c r="B3" s="2" t="inlineStr">
        <is>
          <t>All values illustrative placeholders pending real quotes from forwarders/carriers.</t>
        </is>
      </c>
    </row>
    <row r="5">
      <c r="B5" s="5" t="inlineStr">
        <is>
          <t>Parameter</t>
        </is>
      </c>
      <c r="C5" s="5" t="inlineStr">
        <is>
          <t>Value</t>
        </is>
      </c>
      <c r="D5" s="5" t="inlineStr">
        <is>
          <t>Unit</t>
        </is>
      </c>
      <c r="E5" s="5" t="inlineStr">
        <is>
          <t>Note / source</t>
        </is>
      </c>
    </row>
    <row r="6">
      <c r="B6" s="6" t="inlineStr">
        <is>
          <t>Freight rate — UAE (Dubai) → Iran</t>
        </is>
      </c>
      <c r="C6" s="7" t="n">
        <v>6</v>
      </c>
      <c r="D6" s="6" t="inlineStr">
        <is>
          <t>$/kg</t>
        </is>
      </c>
      <c r="E6" s="8" t="inlineStr">
        <is>
          <t>Short-haul; cheapest, mature forwarder hub</t>
        </is>
      </c>
    </row>
    <row r="7">
      <c r="B7" s="6" t="inlineStr">
        <is>
          <t>Freight rate — Turkey (Istanbul) → Iran</t>
        </is>
      </c>
      <c r="C7" s="7" t="n">
        <v>7</v>
      </c>
      <c r="D7" s="6" t="inlineStr">
        <is>
          <t>$/kg</t>
        </is>
      </c>
      <c r="E7" s="8" t="inlineStr">
        <is>
          <t>Short/medium-haul; strong trade lane</t>
        </is>
      </c>
    </row>
    <row r="8">
      <c r="B8" s="6" t="inlineStr">
        <is>
          <t>Freight rate — Germany → Iran</t>
        </is>
      </c>
      <c r="C8" s="7" t="n">
        <v>12</v>
      </c>
      <c r="D8" s="6" t="inlineStr">
        <is>
          <t>$/kg</t>
        </is>
      </c>
      <c r="E8" s="8" t="inlineStr">
        <is>
          <t>Long-haul; higher freight</t>
        </is>
      </c>
    </row>
    <row r="9">
      <c r="B9" s="6" t="inlineStr">
        <is>
          <t>Freight rate — UK → Iran</t>
        </is>
      </c>
      <c r="C9" s="7" t="n">
        <v>13</v>
      </c>
      <c r="D9" s="6" t="inlineStr">
        <is>
          <t>$/kg</t>
        </is>
      </c>
      <c r="E9" s="8" t="inlineStr">
        <is>
          <t>Long-haul</t>
        </is>
      </c>
    </row>
    <row r="10">
      <c r="B10" s="6" t="inlineStr">
        <is>
          <t>Freight rate — Japan → Iran (illustrative)</t>
        </is>
      </c>
      <c r="C10" s="7" t="n">
        <v>16</v>
      </c>
      <c r="D10" s="6" t="inlineStr">
        <is>
          <t>$/kg</t>
        </is>
      </c>
      <c r="E10" s="8" t="inlineStr">
        <is>
          <t>Very long-haul; shown to demonstrate non-viability</t>
        </is>
      </c>
    </row>
    <row r="11">
      <c r="B11" s="6" t="inlineStr">
        <is>
          <t>Source handling / consolidation fee</t>
        </is>
      </c>
      <c r="C11" s="7" t="n">
        <v>8</v>
      </c>
      <c r="D11" s="6" t="inlineStr">
        <is>
          <t>$/order</t>
        </is>
      </c>
      <c r="E11" s="8" t="inlineStr">
        <is>
          <t>Flat per consolidated shipment (intake, repack, docs)</t>
        </is>
      </c>
    </row>
    <row r="12">
      <c r="B12" s="6" t="inlineStr">
        <is>
          <t>Iran last-mile (gig: AloPeyk/Snapp Box)</t>
        </is>
      </c>
      <c r="C12" s="7" t="n">
        <v>3</v>
      </c>
      <c r="D12" s="6" t="inlineStr">
        <is>
          <t>$/order</t>
        </is>
      </c>
      <c r="E12" s="8" t="inlineStr">
        <is>
          <t>On-demand door delivery inside Iran</t>
        </is>
      </c>
    </row>
    <row r="13">
      <c r="B13" s="6" t="inlineStr">
        <is>
          <t>Payment + FX cost</t>
        </is>
      </c>
      <c r="C13" s="9" t="n">
        <v>0.03</v>
      </c>
      <c r="D13" s="6" t="inlineStr">
        <is>
          <t>% of value</t>
        </is>
      </c>
      <c r="E13" s="8" t="inlineStr">
        <is>
          <t>Foreign card + FX conversion + IRR gateway</t>
        </is>
      </c>
    </row>
    <row r="14">
      <c r="B14" s="6" t="inlineStr">
        <is>
          <t>Insurance / risk reserve</t>
        </is>
      </c>
      <c r="C14" s="9" t="n">
        <v>0.02</v>
      </c>
      <c r="D14" s="6" t="inlineStr">
        <is>
          <t>% of value</t>
        </is>
      </c>
      <c r="E14" s="8" t="inlineStr">
        <is>
          <t>Loss/damage reserve</t>
        </is>
      </c>
    </row>
    <row r="15">
      <c r="B15" s="6" t="inlineStr">
        <is>
          <t>Customs / import cost</t>
        </is>
      </c>
      <c r="C15" s="9" t="n">
        <v>0.1</v>
      </c>
      <c r="D15" s="6" t="inlineStr">
        <is>
          <t>% of value</t>
        </is>
      </c>
      <c r="E15" s="8" t="inlineStr">
        <is>
          <t>Category-dependent placeholder</t>
        </is>
      </c>
    </row>
    <row r="16">
      <c r="B16" s="6" t="inlineStr">
        <is>
          <t>Platform margin (target)</t>
        </is>
      </c>
      <c r="C16" s="9" t="n">
        <v>0.12</v>
      </c>
      <c r="D16" s="6" t="inlineStr">
        <is>
          <t>% of landed</t>
        </is>
      </c>
      <c r="E16" s="8" t="inlineStr">
        <is>
          <t>Our markup on landed cost</t>
        </is>
      </c>
    </row>
    <row r="17">
      <c r="B17" s="6" t="inlineStr">
        <is>
          <t>Volumetric divisor</t>
        </is>
      </c>
      <c r="C17" s="10" t="n">
        <v>5000</v>
      </c>
      <c r="D17" s="6" t="inlineStr">
        <is>
          <t>cm3/kg</t>
        </is>
      </c>
      <c r="E17" s="8" t="inlineStr">
        <is>
          <t>Air standard; chargeable = max(actual, volumetric)</t>
        </is>
      </c>
    </row>
    <row r="18">
      <c r="B18" s="6" t="inlineStr">
        <is>
          <t>Viability threshold (max logistics overhead)</t>
        </is>
      </c>
      <c r="C18" s="9" t="n">
        <v>0.25</v>
      </c>
      <c r="D18" s="6" t="inlineStr">
        <is>
          <t>% of value</t>
        </is>
      </c>
      <c r="E18" s="8" t="inlineStr">
        <is>
          <t>Above this, order is economically 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5" max="15"/>
  </cols>
  <sheetData>
    <row r="2">
      <c r="B2" s="1" t="inlineStr">
        <is>
          <t>Landed-Cost &amp; Contribution Calculator</t>
        </is>
      </c>
    </row>
    <row r="3">
      <c r="B3" s="2" t="inlineStr">
        <is>
          <t>Blue = inputs (edit freely). Each row is one example order. Overhead % vs threshold drives the PASS/FAIL flag.</t>
        </is>
      </c>
    </row>
    <row r="5">
      <c r="B5" s="11" t="inlineStr">
        <is>
          <t>Example order</t>
        </is>
      </c>
      <c r="C5" s="11" t="inlineStr">
        <is>
          <t>Route</t>
        </is>
      </c>
      <c r="D5" s="11" t="inlineStr">
        <is>
          <t>Product value ($)</t>
        </is>
      </c>
      <c r="E5" s="11" t="inlineStr">
        <is>
          <t>Weight (kg)</t>
        </is>
      </c>
      <c r="F5" s="11" t="inlineStr">
        <is>
          <t>Chargeable wt (kg)</t>
        </is>
      </c>
      <c r="G5" s="11" t="inlineStr">
        <is>
          <t>Freight ($)</t>
        </is>
      </c>
      <c r="H5" s="11" t="inlineStr">
        <is>
          <t>Handling ($)</t>
        </is>
      </c>
      <c r="I5" s="11" t="inlineStr">
        <is>
          <t>Last-mile ($)</t>
        </is>
      </c>
      <c r="J5" s="11" t="inlineStr">
        <is>
          <t>Logistics subtotal ($)</t>
        </is>
      </c>
      <c r="K5" s="11" t="inlineStr">
        <is>
          <t>Overhead % of value</t>
        </is>
      </c>
      <c r="L5" s="11" t="inlineStr">
        <is>
          <t>Landed cost ($)</t>
        </is>
      </c>
      <c r="M5" s="11" t="inlineStr">
        <is>
          <t>Customer price ($)</t>
        </is>
      </c>
      <c r="O5" s="12" t="inlineStr">
        <is>
          <t>Verdict</t>
        </is>
      </c>
    </row>
    <row r="6">
      <c r="B6" s="6" t="inlineStr">
        <is>
          <t>AirPods (nearby)</t>
        </is>
      </c>
      <c r="C6" s="13" t="inlineStr">
        <is>
          <t>UAE</t>
        </is>
      </c>
      <c r="D6" s="14" t="n">
        <v>250</v>
      </c>
      <c r="E6" s="15" t="n">
        <v>0.5</v>
      </c>
      <c r="F6" s="16">
        <f>E6</f>
        <v/>
      </c>
      <c r="G6" s="17">
        <f>$C$6*F6</f>
        <v/>
      </c>
      <c r="H6" s="17">
        <f>$C$11</f>
        <v/>
      </c>
      <c r="I6" s="17">
        <f>$C$12</f>
        <v/>
      </c>
      <c r="J6" s="17">
        <f>G6+H6+I6+$C$14*D6</f>
        <v/>
      </c>
      <c r="K6" s="18">
        <f>J6/D6</f>
        <v/>
      </c>
      <c r="L6" s="17">
        <f>D6+J6+$C$13*D6+$C$15*D6</f>
        <v/>
      </c>
      <c r="M6" s="17">
        <f>L6*(1+$C$16)</f>
        <v/>
      </c>
      <c r="O6" s="19">
        <f>IF(K6&lt;=$C$18,"VIABLE","WEAK")</f>
        <v/>
      </c>
    </row>
    <row r="7">
      <c r="B7" s="6" t="inlineStr">
        <is>
          <t>$100 gadget (nearby)</t>
        </is>
      </c>
      <c r="C7" s="13" t="inlineStr">
        <is>
          <t>UAE</t>
        </is>
      </c>
      <c r="D7" s="14" t="n">
        <v>100</v>
      </c>
      <c r="E7" s="15" t="n">
        <v>1</v>
      </c>
      <c r="F7" s="16">
        <f>E7</f>
        <v/>
      </c>
      <c r="G7" s="17">
        <f>$C$6*F7</f>
        <v/>
      </c>
      <c r="H7" s="17">
        <f>$C$11</f>
        <v/>
      </c>
      <c r="I7" s="17">
        <f>$C$12</f>
        <v/>
      </c>
      <c r="J7" s="17">
        <f>G7+H7+I7+$C$14*D7</f>
        <v/>
      </c>
      <c r="K7" s="18">
        <f>J7/D7</f>
        <v/>
      </c>
      <c r="L7" s="17">
        <f>D7+J7+$C$13*D7+$C$15*D7</f>
        <v/>
      </c>
      <c r="M7" s="17">
        <f>L7*(1+$C$16)</f>
        <v/>
      </c>
      <c r="O7" s="19">
        <f>IF(K7&lt;=$C$18,"VIABLE","WEAK")</f>
        <v/>
      </c>
    </row>
    <row r="8">
      <c r="B8" s="6" t="inlineStr">
        <is>
          <t>$100 gadget (far)</t>
        </is>
      </c>
      <c r="C8" s="13" t="inlineStr">
        <is>
          <t>Japan</t>
        </is>
      </c>
      <c r="D8" s="14" t="n">
        <v>100</v>
      </c>
      <c r="E8" s="15" t="n">
        <v>1</v>
      </c>
      <c r="F8" s="16">
        <f>E8</f>
        <v/>
      </c>
      <c r="G8" s="17">
        <f>$C$10*F8</f>
        <v/>
      </c>
      <c r="H8" s="17">
        <f>$C$11</f>
        <v/>
      </c>
      <c r="I8" s="17">
        <f>$C$12</f>
        <v/>
      </c>
      <c r="J8" s="17">
        <f>G8+H8+I8+$C$14*D8</f>
        <v/>
      </c>
      <c r="K8" s="18">
        <f>J8/D8</f>
        <v/>
      </c>
      <c r="L8" s="17">
        <f>D8+J8+$C$13*D8+$C$15*D8</f>
        <v/>
      </c>
      <c r="M8" s="17">
        <f>L8*(1+$C$16)</f>
        <v/>
      </c>
      <c r="O8" s="19">
        <f>IF(K8&lt;=$C$18,"VIABLE","WEAK")</f>
        <v/>
      </c>
    </row>
    <row r="9">
      <c r="B9" s="6" t="inlineStr">
        <is>
          <t>$100 gadget (3kg, far)</t>
        </is>
      </c>
      <c r="C9" s="13" t="inlineStr">
        <is>
          <t>Japan</t>
        </is>
      </c>
      <c r="D9" s="14" t="n">
        <v>100</v>
      </c>
      <c r="E9" s="15" t="n">
        <v>3</v>
      </c>
      <c r="F9" s="16">
        <f>E9</f>
        <v/>
      </c>
      <c r="G9" s="17">
        <f>$C$10*F9</f>
        <v/>
      </c>
      <c r="H9" s="17">
        <f>$C$11</f>
        <v/>
      </c>
      <c r="I9" s="17">
        <f>$C$12</f>
        <v/>
      </c>
      <c r="J9" s="17">
        <f>G9+H9+I9+$C$14*D9</f>
        <v/>
      </c>
      <c r="K9" s="18">
        <f>J9/D9</f>
        <v/>
      </c>
      <c r="L9" s="17">
        <f>D9+J9+$C$13*D9+$C$15*D9</f>
        <v/>
      </c>
      <c r="M9" s="17">
        <f>L9*(1+$C$16)</f>
        <v/>
      </c>
      <c r="O9" s="19">
        <f>IF(K9&lt;=$C$18,"VIABLE","WEAK")</f>
        <v/>
      </c>
    </row>
    <row r="10">
      <c r="B10" s="6" t="inlineStr">
        <is>
          <t>Cosmetics basket</t>
        </is>
      </c>
      <c r="C10" s="13" t="inlineStr">
        <is>
          <t>Turkey</t>
        </is>
      </c>
      <c r="D10" s="14" t="n">
        <v>180</v>
      </c>
      <c r="E10" s="15" t="n">
        <v>1.5</v>
      </c>
      <c r="F10" s="16">
        <f>E10</f>
        <v/>
      </c>
      <c r="G10" s="17">
        <f>$C$7*F10</f>
        <v/>
      </c>
      <c r="H10" s="17">
        <f>$C$11</f>
        <v/>
      </c>
      <c r="I10" s="17">
        <f>$C$12</f>
        <v/>
      </c>
      <c r="J10" s="17">
        <f>G10+H10+I10+$C$14*D10</f>
        <v/>
      </c>
      <c r="K10" s="18">
        <f>J10/D10</f>
        <v/>
      </c>
      <c r="L10" s="17">
        <f>D10+J10+$C$13*D10+$C$15*D10</f>
        <v/>
      </c>
      <c r="M10" s="17">
        <f>L10*(1+$C$16)</f>
        <v/>
      </c>
      <c r="O10" s="19">
        <f>IF(K10&lt;=$C$18,"VIABLE","WEAK")</f>
        <v/>
      </c>
    </row>
    <row r="11">
      <c r="B11" s="6" t="inlineStr">
        <is>
          <t>Laptop (high value)</t>
        </is>
      </c>
      <c r="C11" s="13" t="inlineStr">
        <is>
          <t>Germany</t>
        </is>
      </c>
      <c r="D11" s="14" t="n">
        <v>1400</v>
      </c>
      <c r="E11" s="15" t="n">
        <v>2.2</v>
      </c>
      <c r="F11" s="16">
        <f>E11</f>
        <v/>
      </c>
      <c r="G11" s="17">
        <f>$C$8*F11</f>
        <v/>
      </c>
      <c r="H11" s="17">
        <f>$C$11</f>
        <v/>
      </c>
      <c r="I11" s="17">
        <f>$C$12</f>
        <v/>
      </c>
      <c r="J11" s="17">
        <f>G11+H11+I11+$C$14*D11</f>
        <v/>
      </c>
      <c r="K11" s="18">
        <f>J11/D11</f>
        <v/>
      </c>
      <c r="L11" s="17">
        <f>D11+J11+$C$13*D11+$C$15*D11</f>
        <v/>
      </c>
      <c r="M11" s="17">
        <f>L11*(1+$C$16)</f>
        <v/>
      </c>
      <c r="O11" s="19">
        <f>IF(K11&lt;=$C$18,"VIABLE","WEAK")</f>
        <v/>
      </c>
    </row>
    <row r="12">
      <c r="B12" s="6" t="inlineStr">
        <is>
          <t>Sneakers (bulky)</t>
        </is>
      </c>
      <c r="C12" s="13" t="inlineStr">
        <is>
          <t>UK</t>
        </is>
      </c>
      <c r="D12" s="14" t="n">
        <v>130</v>
      </c>
      <c r="E12" s="15" t="n">
        <v>1.8</v>
      </c>
      <c r="F12" s="16">
        <f>E12</f>
        <v/>
      </c>
      <c r="G12" s="17">
        <f>$C$9*F12</f>
        <v/>
      </c>
      <c r="H12" s="17">
        <f>$C$11</f>
        <v/>
      </c>
      <c r="I12" s="17">
        <f>$C$12</f>
        <v/>
      </c>
      <c r="J12" s="17">
        <f>G12+H12+I12+$C$14*D12</f>
        <v/>
      </c>
      <c r="K12" s="18">
        <f>J12/D12</f>
        <v/>
      </c>
      <c r="L12" s="17">
        <f>D12+J12+$C$13*D12+$C$15*D12</f>
        <v/>
      </c>
      <c r="M12" s="17">
        <f>L12*(1+$C$16)</f>
        <v/>
      </c>
      <c r="O12" s="19">
        <f>IF(K12&lt;=$C$18,"VIABLE","WEAK")</f>
        <v/>
      </c>
    </row>
    <row r="13">
      <c r="B13" s="6" t="inlineStr">
        <is>
          <t>Watch (high value/low wt)</t>
        </is>
      </c>
      <c r="C13" s="13" t="inlineStr">
        <is>
          <t>Japan</t>
        </is>
      </c>
      <c r="D13" s="14" t="n">
        <v>900</v>
      </c>
      <c r="E13" s="15" t="n">
        <v>0.4</v>
      </c>
      <c r="F13" s="16">
        <f>E13</f>
        <v/>
      </c>
      <c r="G13" s="17">
        <f>$C$10*F13</f>
        <v/>
      </c>
      <c r="H13" s="17">
        <f>$C$11</f>
        <v/>
      </c>
      <c r="I13" s="17">
        <f>$C$12</f>
        <v/>
      </c>
      <c r="J13" s="17">
        <f>G13+H13+I13+$C$14*D13</f>
        <v/>
      </c>
      <c r="K13" s="18">
        <f>J13/D13</f>
        <v/>
      </c>
      <c r="L13" s="17">
        <f>D13+J13+$C$13*D13+$C$15*D13</f>
        <v/>
      </c>
      <c r="M13" s="17">
        <f>L13*(1+$C$16)</f>
        <v/>
      </c>
      <c r="O13" s="19">
        <f>IF(K13&lt;=$C$18,"VIABLE","WEAK")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1" t="inlineStr">
        <is>
          <t>Minimum viable product value ($) by Route x Weight</t>
        </is>
      </c>
    </row>
    <row r="3">
      <c r="B3" s="2" t="inlineStr">
        <is>
          <t>The product value at which logistics overhead equals the viability threshold. Order value must EXCEED this to be economic. Cells shaded red where even a $150 item would be weak.</t>
        </is>
      </c>
    </row>
    <row r="4">
      <c r="B4" s="2" t="inlineStr">
        <is>
          <t>Formula: min viable value = (freight(rate x wt) + handling + last-mile) / (threshold - insurance%)</t>
        </is>
      </c>
    </row>
    <row r="6">
      <c r="B6" s="20" t="inlineStr">
        <is>
          <t>Route \ Weight (kg)</t>
        </is>
      </c>
      <c r="C6" s="21" t="n">
        <v>0.5</v>
      </c>
      <c r="D6" s="21" t="n">
        <v>1</v>
      </c>
      <c r="E6" s="21" t="n">
        <v>2</v>
      </c>
      <c r="F6" s="21" t="n">
        <v>3</v>
      </c>
      <c r="G6" s="21" t="n">
        <v>5</v>
      </c>
    </row>
    <row r="7">
      <c r="B7" s="19" t="inlineStr">
        <is>
          <t>UAE</t>
        </is>
      </c>
      <c r="C7" s="22">
        <f>($C$6*0.5+$C$11+$C$12)/($C$18-$C$14)</f>
        <v/>
      </c>
      <c r="D7" s="22">
        <f>($C$6*1.0+$C$11+$C$12)/($C$18-$C$14)</f>
        <v/>
      </c>
      <c r="E7" s="22">
        <f>($C$6*2.0+$C$11+$C$12)/($C$18-$C$14)</f>
        <v/>
      </c>
      <c r="F7" s="22">
        <f>($C$6*3.0+$C$11+$C$12)/($C$18-$C$14)</f>
        <v/>
      </c>
      <c r="G7" s="22">
        <f>($C$6*5.0+$C$11+$C$12)/($C$18-$C$14)</f>
        <v/>
      </c>
    </row>
    <row r="8">
      <c r="B8" s="19" t="inlineStr">
        <is>
          <t>Turkey</t>
        </is>
      </c>
      <c r="C8" s="22">
        <f>($C$7*0.5+$C$11+$C$12)/($C$18-$C$14)</f>
        <v/>
      </c>
      <c r="D8" s="22">
        <f>($C$7*1.0+$C$11+$C$12)/($C$18-$C$14)</f>
        <v/>
      </c>
      <c r="E8" s="22">
        <f>($C$7*2.0+$C$11+$C$12)/($C$18-$C$14)</f>
        <v/>
      </c>
      <c r="F8" s="22">
        <f>($C$7*3.0+$C$11+$C$12)/($C$18-$C$14)</f>
        <v/>
      </c>
      <c r="G8" s="22">
        <f>($C$7*5.0+$C$11+$C$12)/($C$18-$C$14)</f>
        <v/>
      </c>
    </row>
    <row r="9">
      <c r="B9" s="19" t="inlineStr">
        <is>
          <t>Germany</t>
        </is>
      </c>
      <c r="C9" s="22">
        <f>($C$8*0.5+$C$11+$C$12)/($C$18-$C$14)</f>
        <v/>
      </c>
      <c r="D9" s="22">
        <f>($C$8*1.0+$C$11+$C$12)/($C$18-$C$14)</f>
        <v/>
      </c>
      <c r="E9" s="22">
        <f>($C$8*2.0+$C$11+$C$12)/($C$18-$C$14)</f>
        <v/>
      </c>
      <c r="F9" s="22">
        <f>($C$8*3.0+$C$11+$C$12)/($C$18-$C$14)</f>
        <v/>
      </c>
      <c r="G9" s="22">
        <f>($C$8*5.0+$C$11+$C$12)/($C$18-$C$14)</f>
        <v/>
      </c>
    </row>
    <row r="10">
      <c r="B10" s="19" t="inlineStr">
        <is>
          <t>UK</t>
        </is>
      </c>
      <c r="C10" s="22">
        <f>($C$9*0.5+$C$11+$C$12)/($C$18-$C$14)</f>
        <v/>
      </c>
      <c r="D10" s="22">
        <f>($C$9*1.0+$C$11+$C$12)/($C$18-$C$14)</f>
        <v/>
      </c>
      <c r="E10" s="22">
        <f>($C$9*2.0+$C$11+$C$12)/($C$18-$C$14)</f>
        <v/>
      </c>
      <c r="F10" s="22">
        <f>($C$9*3.0+$C$11+$C$12)/($C$18-$C$14)</f>
        <v/>
      </c>
      <c r="G10" s="22">
        <f>($C$9*5.0+$C$11+$C$12)/($C$18-$C$14)</f>
        <v/>
      </c>
    </row>
    <row r="11">
      <c r="B11" s="19" t="inlineStr">
        <is>
          <t>Japan</t>
        </is>
      </c>
      <c r="C11" s="22">
        <f>($C$10*0.5+$C$11+$C$12)/($C$18-$C$14)</f>
        <v/>
      </c>
      <c r="D11" s="22">
        <f>($C$10*1.0+$C$11+$C$12)/($C$18-$C$14)</f>
        <v/>
      </c>
      <c r="E11" s="22">
        <f>($C$10*2.0+$C$11+$C$12)/($C$18-$C$14)</f>
        <v/>
      </c>
      <c r="F11" s="22">
        <f>($C$10*3.0+$C$11+$C$12)/($C$18-$C$14)</f>
        <v/>
      </c>
      <c r="G11" s="22">
        <f>($C$10*5.0+$C$11+$C$12)/($C$18-$C$14)</f>
        <v/>
      </c>
    </row>
    <row r="13">
      <c r="B13" s="2" t="inlineStr">
        <is>
          <t>Read: any product priced BELOW the cell value is uneconomic to ship end-to-end on that route/weight.</t>
        </is>
      </c>
    </row>
    <row r="14">
      <c r="B14" s="2" t="inlineStr">
        <is>
          <t>e.g. a $100 1kg item from Japan needs to clear the Japan/1.0kg cell — it does not, confirming the 'far + cheap = no' intuition.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1" t="inlineStr">
        <is>
          <t>Route Feasibility Matrix (qualitative)</t>
        </is>
      </c>
    </row>
    <row r="3">
      <c r="B3" s="2" t="inlineStr">
        <is>
          <t>Score 1 (poor) - 5 (excellent). Weighted total picks the beachhead route. Scores are reasoned estimates for revalidation with real data.</t>
        </is>
      </c>
    </row>
    <row r="6">
      <c r="B6" s="5" t="inlineStr">
        <is>
          <t>Dimension</t>
        </is>
      </c>
      <c r="C6" s="5" t="inlineStr">
        <is>
          <t>Weight</t>
        </is>
      </c>
      <c r="D6" s="5" t="inlineStr">
        <is>
          <t>UAE</t>
        </is>
      </c>
      <c r="E6" s="5" t="inlineStr">
        <is>
          <t>Turkey</t>
        </is>
      </c>
      <c r="F6" s="5" t="inlineStr">
        <is>
          <t>Germany</t>
        </is>
      </c>
      <c r="G6" s="5" t="inlineStr">
        <is>
          <t>UK</t>
        </is>
      </c>
    </row>
    <row r="7">
      <c r="B7" s="6" t="inlineStr">
        <is>
          <t>Freight cost / proximity</t>
        </is>
      </c>
      <c r="C7" s="9" t="n">
        <v>0.2</v>
      </c>
      <c r="D7" s="23" t="n">
        <v>5</v>
      </c>
      <c r="E7" s="23" t="n">
        <v>4</v>
      </c>
      <c r="F7" s="23" t="n">
        <v>2</v>
      </c>
      <c r="G7" s="23" t="n">
        <v>2</v>
      </c>
    </row>
    <row r="8">
      <c r="B8" s="6" t="inlineStr">
        <is>
          <t>Forwarder/warehouse maturity</t>
        </is>
      </c>
      <c r="C8" s="9" t="n">
        <v>0.15</v>
      </c>
      <c r="D8" s="23" t="n">
        <v>5</v>
      </c>
      <c r="E8" s="23" t="n">
        <v>4</v>
      </c>
      <c r="F8" s="23" t="n">
        <v>4</v>
      </c>
      <c r="G8" s="23" t="n">
        <v>4</v>
      </c>
    </row>
    <row r="9">
      <c r="B9" s="6" t="inlineStr">
        <is>
          <t>Procurement automation (marketplace)</t>
        </is>
      </c>
      <c r="C9" s="9" t="n">
        <v>0.15</v>
      </c>
      <c r="D9" s="23" t="n">
        <v>3</v>
      </c>
      <c r="E9" s="23" t="n">
        <v>3</v>
      </c>
      <c r="F9" s="23" t="n">
        <v>4</v>
      </c>
      <c r="G9" s="23" t="n">
        <v>4</v>
      </c>
    </row>
    <row r="10">
      <c r="B10" s="6" t="inlineStr">
        <is>
          <t>Foreign payment feasibility</t>
        </is>
      </c>
      <c r="C10" s="9" t="n">
        <v>0.15</v>
      </c>
      <c r="D10" s="23" t="n">
        <v>4</v>
      </c>
      <c r="E10" s="23" t="n">
        <v>4</v>
      </c>
      <c r="F10" s="23" t="n">
        <v>3</v>
      </c>
      <c r="G10" s="23" t="n">
        <v>3</v>
      </c>
    </row>
    <row r="11">
      <c r="B11" s="6" t="inlineStr">
        <is>
          <t>Customs / route reliability to Iran</t>
        </is>
      </c>
      <c r="C11" s="9" t="n">
        <v>0.15</v>
      </c>
      <c r="D11" s="23" t="n">
        <v>4</v>
      </c>
      <c r="E11" s="23" t="n">
        <v>4</v>
      </c>
      <c r="F11" s="23" t="n">
        <v>3</v>
      </c>
      <c r="G11" s="23" t="n">
        <v>3</v>
      </c>
    </row>
    <row r="12">
      <c r="B12" s="6" t="inlineStr">
        <is>
          <t>Product availability / catalog</t>
        </is>
      </c>
      <c r="C12" s="9" t="n">
        <v>0.1</v>
      </c>
      <c r="D12" s="23" t="n">
        <v>4</v>
      </c>
      <c r="E12" s="23" t="n">
        <v>3</v>
      </c>
      <c r="F12" s="23" t="n">
        <v>5</v>
      </c>
      <c r="G12" s="23" t="n">
        <v>5</v>
      </c>
    </row>
    <row r="13">
      <c r="B13" s="6" t="inlineStr">
        <is>
          <t>Compliance / sanctions exposure</t>
        </is>
      </c>
      <c r="C13" s="9" t="n">
        <v>0.1</v>
      </c>
      <c r="D13" s="23" t="n">
        <v>3</v>
      </c>
      <c r="E13" s="23" t="n">
        <v>4</v>
      </c>
      <c r="F13" s="23" t="n">
        <v>3</v>
      </c>
      <c r="G13" s="23" t="n">
        <v>3</v>
      </c>
    </row>
    <row r="14">
      <c r="B14" s="19" t="inlineStr">
        <is>
          <t>WEIGHTED TOTAL (1-5)</t>
        </is>
      </c>
      <c r="C14" s="24">
        <f>SUM(C7:C13)</f>
        <v/>
      </c>
      <c r="D14" s="25">
        <f>SUMPRODUCT($C$7:$C$13,D7:D13)</f>
        <v/>
      </c>
      <c r="E14" s="26">
        <f>SUMPRODUCT($C$7:$C$13,E7:E13)</f>
        <v/>
      </c>
      <c r="F14" s="26">
        <f>SUMPRODUCT($C$7:$C$13,F7:F13)</f>
        <v/>
      </c>
      <c r="G14" s="26">
        <f>SUMPRODUCT($C$7:$C$13,G7:G13)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4" customWidth="1" min="8" max="8"/>
  </cols>
  <sheetData>
    <row r="2">
      <c r="B2" s="1" t="inlineStr">
        <is>
          <t>Fulfillment Model Comparison</t>
        </is>
      </c>
    </row>
    <row r="3">
      <c r="B3" s="2" t="inlineStr">
        <is>
          <t>Five best-practice international archetypes scored 1-5. Higher = better fit for our launch. See doc for full analysis.</t>
        </is>
      </c>
    </row>
    <row r="6">
      <c r="B6" s="5" t="inlineStr">
        <is>
          <t>Model</t>
        </is>
      </c>
      <c r="C6" s="5" t="inlineStr">
        <is>
          <t>Speed to launch</t>
        </is>
      </c>
      <c r="D6" s="5" t="inlineStr">
        <is>
          <t>Capex / asset-lightness</t>
        </is>
      </c>
      <c r="E6" s="5" t="inlineStr">
        <is>
          <t>Unit-cost at scale</t>
        </is>
      </c>
      <c r="F6" s="5" t="inlineStr">
        <is>
          <t>Reliability/trust</t>
        </is>
      </c>
      <c r="G6" s="5" t="inlineStr">
        <is>
          <t>Compliance safety</t>
        </is>
      </c>
      <c r="H6" s="5" t="inlineStr">
        <is>
          <t>Note</t>
        </is>
      </c>
    </row>
    <row r="7">
      <c r="B7" s="27" t="inlineStr">
        <is>
          <t>Integrated forwarder + gig last-mile</t>
        </is>
      </c>
      <c r="C7" s="23" t="n">
        <v>5</v>
      </c>
      <c r="D7" s="23" t="n">
        <v>5</v>
      </c>
      <c r="E7" s="23" t="n">
        <v>4</v>
      </c>
      <c r="F7" s="23" t="n">
        <v>4</v>
      </c>
      <c r="G7" s="23" t="n">
        <v>4</v>
      </c>
      <c r="H7" s="28" t="inlineStr">
        <is>
          <t>RECOMMENDED START: partner source-warehouse + AloPeyk/Snapp last-mile</t>
        </is>
      </c>
    </row>
    <row r="8">
      <c r="B8" s="27" t="inlineStr">
        <is>
          <t>Own warehouses + own fleet</t>
        </is>
      </c>
      <c r="C8" s="23" t="n">
        <v>1</v>
      </c>
      <c r="D8" s="23" t="n">
        <v>1</v>
      </c>
      <c r="E8" s="23" t="n">
        <v>5</v>
      </c>
      <c r="F8" s="23" t="n">
        <v>5</v>
      </c>
      <c r="G8" s="23" t="n">
        <v>4</v>
      </c>
      <c r="H8" s="28" t="inlineStr">
        <is>
          <t>Best unit cost eventually, huge capex — not for MVP</t>
        </is>
      </c>
    </row>
    <row r="9">
      <c r="B9" s="27" t="inlineStr">
        <is>
          <t>PUDO / pickup-point network</t>
        </is>
      </c>
      <c r="C9" s="23" t="n">
        <v>3</v>
      </c>
      <c r="D9" s="23" t="n">
        <v>4</v>
      </c>
      <c r="E9" s="23" t="n">
        <v>4</v>
      </c>
      <c r="F9" s="23" t="n">
        <v>4</v>
      </c>
      <c r="G9" s="23" t="n">
        <v>4</v>
      </c>
      <c r="H9" s="28" t="inlineStr">
        <is>
          <t>Add as option; ~25% cheaper than door; needs partner points</t>
        </is>
      </c>
    </row>
    <row r="10">
      <c r="B10" s="27" t="inlineStr">
        <is>
          <t>Crowdshipping / traveler (Grabr-style)</t>
        </is>
      </c>
      <c r="C10" s="23" t="n">
        <v>3</v>
      </c>
      <c r="D10" s="23" t="n">
        <v>5</v>
      </c>
      <c r="E10" s="23" t="n">
        <v>3</v>
      </c>
      <c r="F10" s="23" t="n">
        <v>2</v>
      </c>
      <c r="G10" s="23" t="n">
        <v>2</v>
      </c>
      <c r="H10" s="28" t="inlineStr">
        <is>
          <t>Supplement for high-value/low-weight; trust+customs risk</t>
        </is>
      </c>
    </row>
    <row r="11">
      <c r="B11" s="27" t="inlineStr">
        <is>
          <t>Hawala-style delegated agent (goods)</t>
        </is>
      </c>
      <c r="C11" s="23" t="n">
        <v>2</v>
      </c>
      <c r="D11" s="23" t="n">
        <v>5</v>
      </c>
      <c r="E11" s="23" t="n">
        <v>3</v>
      </c>
      <c r="F11" s="23" t="n">
        <v>2</v>
      </c>
      <c r="G11" s="23" t="n">
        <v>1</v>
      </c>
      <c r="H11" s="28" t="inlineStr">
        <is>
          <t>Compliance-fragile; goods-only, never value transfer</t>
        </is>
      </c>
    </row>
    <row r="13">
      <c r="B13" s="2" t="inlineStr">
        <is>
          <t>Score = weighted 1-5 across launch-fit criteria. Model 1 wins on speed + asset-lightness for a first pilot.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2026-08-12T09:32:30Z</dcterms:created>
  <dcterms:modified xmlns:dcterms="http://purl.org/dc/terms/" xmlns:xsi="http://www.w3.org/2001/XMLSchema-instance" xsi:type="dcterms:W3CDTF">2026-08-12T09:32:30Z</dcterms:modified>
</cp:coreProperties>
</file>